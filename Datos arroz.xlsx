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yonshualxinico/Documentos/2025/URL/Estudio de caso/"/>
    </mc:Choice>
  </mc:AlternateContent>
  <xr:revisionPtr revIDLastSave="0" documentId="13_ncr:1_{490C571E-6278-6C4E-9BF6-4ABB55621C92}" xr6:coauthVersionLast="47" xr6:coauthVersionMax="47" xr10:uidLastSave="{00000000-0000-0000-0000-000000000000}"/>
  <bookViews>
    <workbookView xWindow="0" yWindow="0" windowWidth="20740" windowHeight="16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tc={1C2822B6-BF09-6C46-B908-99311DBD91FC}</author>
  </authors>
  <commentList>
    <comment ref="K1" authorId="0" shapeId="0" xr:uid="{1C2822B6-BF09-6C46-B908-99311DBD91FC}">
      <text>
        <t>[Threaded comment]
Your version of Excel allows you to read this threaded comment; however, any edits to it will get removed if the file is opened in a newer version of Excel. Learn more: https://go.microsoft.com/fwlink/?linkid=870924
Comment:
    Es la cantidad cosechada en 12 m2, que es la parcela neta</t>
      </text>
    </comment>
  </commentList>
</comments>
</file>

<file path=xl/sharedStrings.xml><?xml version="1.0" encoding="utf-8"?>
<sst xmlns="http://schemas.openxmlformats.org/spreadsheetml/2006/main" count="61" uniqueCount="23">
  <si>
    <t>#Paniculas/0.9 m2</t>
  </si>
  <si>
    <t>#Granos/panicula</t>
  </si>
  <si>
    <t>%Llenos</t>
  </si>
  <si>
    <t>%Vacíos</t>
  </si>
  <si>
    <t>Peso de 0.9 m2 (kg)</t>
  </si>
  <si>
    <t>Peso de 1000 granos llenos (g)</t>
  </si>
  <si>
    <t xml:space="preserve">% Humedad </t>
  </si>
  <si>
    <t>Tratamiento</t>
  </si>
  <si>
    <t>Bloque</t>
  </si>
  <si>
    <t>I</t>
  </si>
  <si>
    <t>II</t>
  </si>
  <si>
    <t>III</t>
  </si>
  <si>
    <t>IV</t>
  </si>
  <si>
    <t>T6</t>
  </si>
  <si>
    <t>T1</t>
  </si>
  <si>
    <t>T5</t>
  </si>
  <si>
    <t>T3</t>
  </si>
  <si>
    <t>T4</t>
  </si>
  <si>
    <t>T2</t>
  </si>
  <si>
    <t>Parcela</t>
  </si>
  <si>
    <t>#Paniculas/m2</t>
  </si>
  <si>
    <t>Producción (kg)</t>
  </si>
  <si>
    <t>Rendimiento 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</si>
</sst>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ONSHUAL NEHEMIAS XINICO AJU" id="{C29657C4-B57A-0A45-8A55-229AAE14486A}" userId="S::ynxinico@correo.url.edu.gt::e448d97c-0da4-4bc1-afc4-086be7e68cd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D8C0D-C8FC-C246-9F0E-F5991DA6A0CF}" name="Table1" displayName="Table1" ref="A1:M25">
  <autoFilter ref="A1:M25" xr:uid="{73AD8C0D-C8FC-C246-9F0E-F5991DA6A0CF}"/>
  <tableColumns count="13">
    <tableColumn id="1" xr3:uid="{9B5FB4C7-B6CB-1740-8D0F-A5501B41A6DA}" name="Parcela" totalsRowLabel="Total"/>
    <tableColumn id="10" xr3:uid="{E8217316-7DBB-5140-9450-A9BDB014F4A5}" name="Tratamiento"/>
    <tableColumn id="11" xr3:uid="{04CBF62F-A2E8-4548-808F-63C71266666B}" name="Bloque"/>
    <tableColumn id="2" xr3:uid="{3E66A1A9-820D-794F-A9EC-D40E20EA230A}" name="#Paniculas/0.9 m2" totalsRowFunction="average"/>
    <tableColumn id="12" xr3:uid="{F6B1CF7C-5163-EB4B-ABA0-2AEFA4FF9848}" name="#Paniculas/m2" dataDxfId="4">
      <calculatedColumnFormula>Table1[[#This Row],['#Paniculas/0.9 m2]]/0.9</calculatedColumnFormula>
    </tableColumn>
    <tableColumn id="7" xr3:uid="{ED299D63-61A8-2E42-877D-12C0BAAC1466}" name="Peso de 0.9 m2 (kg)" dataDxfId="3"/>
    <tableColumn id="3" xr3:uid="{588D0896-4199-D941-AC05-47D09984B80C}" name="#Granos/panicula"/>
    <tableColumn id="4" xr3:uid="{1AFEE958-156C-A448-8ED2-9683E0D91A87}" name="%Llenos" dataDxfId="2"/>
    <tableColumn id="5" xr3:uid="{8176AEF3-1AB5-7D41-B138-23D8BDB7281A}" name="%Vacíos" dataDxfId="1">
      <calculatedColumnFormula>1-H2</calculatedColumnFormula>
    </tableColumn>
    <tableColumn id="6" xr3:uid="{55357F7C-4436-BA47-84DC-7B2A591D590B}" name="Peso de 1000 granos llenos (g)"/>
    <tableColumn id="8" xr3:uid="{5A84D242-631B-4873-9099-0814EF250B10}" name="Producción (kg)"/>
    <tableColumn id="13" xr3:uid="{3E806EF9-AA85-784E-A4B5-A475902AC724}" name="Rendimiento (kg/ha)" dataDxfId="0">
      <calculatedColumnFormula>(Table1[[#This Row],[Producción (kg)]]/12)*10000</calculatedColumnFormula>
    </tableColumn>
    <tableColumn id="9" xr3:uid="{D28FAFD4-1A65-42D8-9090-7E2550D4BD25}" name="% Humedad 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1-31T01:04:19.41" personId="{C29657C4-B57A-0A45-8A55-229AAE14486A}" id="{1C2822B6-BF09-6C46-B908-99311DBD91FC}">
    <text>Es la cantidad cosechada en 12 m2, que es la parcela neta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F24D5-2B10-AA4D-8CA0-B59D54A639F3}">
  <dimension ref="A1:M25"/>
  <sheetViews>
    <sheetView tabSelected="1" topLeftCell="G1" zoomScale="141" zoomScaleNormal="130" zoomScaleSheetLayoutView="100" workbookViewId="0">
      <selection activeCell="J3" sqref="J3"/>
    </sheetView>
  </sheetViews>
  <sheetFormatPr baseColWidth="10" defaultColWidth="9.1640625" defaultRowHeight="15" x14ac:dyDescent="0.2"/>
  <cols>
    <col min="1" max="1" width="9.33203125" bestFit="1" customWidth="1"/>
    <col min="2" max="2" width="13.1640625" bestFit="1" customWidth="1"/>
    <col min="3" max="3" width="9.1640625" bestFit="1" customWidth="1"/>
    <col min="4" max="4" width="17.83203125" bestFit="1" customWidth="1"/>
    <col min="5" max="5" width="15" bestFit="1" customWidth="1"/>
    <col min="6" max="6" width="18.33203125" bestFit="1" customWidth="1"/>
    <col min="7" max="7" width="17.1640625" bestFit="1" customWidth="1"/>
    <col min="8" max="9" width="10" bestFit="1" customWidth="1"/>
    <col min="10" max="10" width="27.1640625" bestFit="1" customWidth="1"/>
    <col min="11" max="11" width="15.5" bestFit="1" customWidth="1"/>
    <col min="12" max="12" width="19.6640625" bestFit="1" customWidth="1"/>
    <col min="13" max="14" width="13.1640625" bestFit="1" customWidth="1"/>
  </cols>
  <sheetData>
    <row r="1" spans="1:13" x14ac:dyDescent="0.2">
      <c r="A1" t="s">
        <v>19</v>
      </c>
      <c r="B1" t="s">
        <v>7</v>
      </c>
      <c r="C1" t="s">
        <v>8</v>
      </c>
      <c r="D1" t="s">
        <v>0</v>
      </c>
      <c r="E1" t="s">
        <v>20</v>
      </c>
      <c r="F1" t="s">
        <v>4</v>
      </c>
      <c r="G1" t="s">
        <v>1</v>
      </c>
      <c r="H1" t="s">
        <v>2</v>
      </c>
      <c r="I1" t="s">
        <v>3</v>
      </c>
      <c r="J1" t="s">
        <v>5</v>
      </c>
      <c r="K1" t="s">
        <v>21</v>
      </c>
      <c r="L1" t="s">
        <v>22</v>
      </c>
      <c r="M1" t="s">
        <v>6</v>
      </c>
    </row>
    <row r="2" spans="1:13" x14ac:dyDescent="0.2">
      <c r="A2">
        <v>101</v>
      </c>
      <c r="B2" t="s">
        <v>13</v>
      </c>
      <c r="C2" t="s">
        <v>9</v>
      </c>
      <c r="D2">
        <v>593</v>
      </c>
      <c r="E2" s="2">
        <f>Table1[[#This Row],['#Paniculas/0.9 m2]]/0.9</f>
        <v>658.88888888888891</v>
      </c>
      <c r="F2">
        <v>0.44900000000000001</v>
      </c>
      <c r="G2">
        <v>75.08</v>
      </c>
      <c r="H2" s="1">
        <v>0.65500000000000003</v>
      </c>
      <c r="I2" s="1">
        <f>1-H2</f>
        <v>0.34499999999999997</v>
      </c>
      <c r="J2">
        <v>31</v>
      </c>
      <c r="K2">
        <v>3.65</v>
      </c>
      <c r="L2" s="2">
        <f>(Table1[[#This Row],[Producción (kg)]]/12)*10000</f>
        <v>3041.6666666666665</v>
      </c>
      <c r="M2">
        <v>26.9</v>
      </c>
    </row>
    <row r="3" spans="1:13" x14ac:dyDescent="0.2">
      <c r="A3">
        <v>102</v>
      </c>
      <c r="B3" t="s">
        <v>14</v>
      </c>
      <c r="C3" t="s">
        <v>9</v>
      </c>
      <c r="D3">
        <v>378</v>
      </c>
      <c r="E3" s="2">
        <f>Table1[[#This Row],['#Paniculas/0.9 m2]]/0.9</f>
        <v>420</v>
      </c>
      <c r="F3">
        <v>0.26800000000000002</v>
      </c>
      <c r="G3">
        <v>85.32</v>
      </c>
      <c r="H3" s="1">
        <v>0.54</v>
      </c>
      <c r="I3" s="1">
        <f t="shared" ref="I3:I25" si="0">1-H3</f>
        <v>0.45999999999999996</v>
      </c>
      <c r="J3">
        <v>25</v>
      </c>
      <c r="K3">
        <v>2.9</v>
      </c>
      <c r="L3" s="2">
        <f>(Table1[[#This Row],[Producción (kg)]]/12)*10000</f>
        <v>2416.6666666666665</v>
      </c>
      <c r="M3">
        <v>27.3</v>
      </c>
    </row>
    <row r="4" spans="1:13" x14ac:dyDescent="0.2">
      <c r="A4">
        <v>103</v>
      </c>
      <c r="B4" t="s">
        <v>15</v>
      </c>
      <c r="C4" t="s">
        <v>9</v>
      </c>
      <c r="D4">
        <v>504</v>
      </c>
      <c r="E4" s="2">
        <f>Table1[[#This Row],['#Paniculas/0.9 m2]]/0.9</f>
        <v>560</v>
      </c>
      <c r="F4">
        <v>0.375</v>
      </c>
      <c r="G4">
        <v>67.959999999999994</v>
      </c>
      <c r="H4" s="1">
        <v>0.56100000000000005</v>
      </c>
      <c r="I4" s="1">
        <f t="shared" si="0"/>
        <v>0.43899999999999995</v>
      </c>
      <c r="J4">
        <v>25</v>
      </c>
      <c r="K4">
        <v>3.5</v>
      </c>
      <c r="L4" s="2">
        <f>(Table1[[#This Row],[Producción (kg)]]/12)*10000</f>
        <v>2916.666666666667</v>
      </c>
      <c r="M4">
        <v>23.7</v>
      </c>
    </row>
    <row r="5" spans="1:13" x14ac:dyDescent="0.2">
      <c r="A5">
        <v>104</v>
      </c>
      <c r="B5" t="s">
        <v>16</v>
      </c>
      <c r="C5" t="s">
        <v>9</v>
      </c>
      <c r="D5">
        <v>429</v>
      </c>
      <c r="E5" s="2">
        <f>Table1[[#This Row],['#Paniculas/0.9 m2]]/0.9</f>
        <v>476.66666666666663</v>
      </c>
      <c r="F5">
        <v>0.42799999999999999</v>
      </c>
      <c r="G5">
        <v>91.32</v>
      </c>
      <c r="H5" s="1">
        <v>0.63</v>
      </c>
      <c r="I5" s="1">
        <f t="shared" si="0"/>
        <v>0.37</v>
      </c>
      <c r="J5">
        <v>29</v>
      </c>
      <c r="K5">
        <v>3.55</v>
      </c>
      <c r="L5" s="2">
        <f>(Table1[[#This Row],[Producción (kg)]]/12)*10000</f>
        <v>2958.3333333333335</v>
      </c>
      <c r="M5">
        <v>26.4</v>
      </c>
    </row>
    <row r="6" spans="1:13" x14ac:dyDescent="0.2">
      <c r="A6">
        <v>105</v>
      </c>
      <c r="B6" t="s">
        <v>17</v>
      </c>
      <c r="C6" t="s">
        <v>9</v>
      </c>
      <c r="D6">
        <v>583</v>
      </c>
      <c r="E6" s="2">
        <f>Table1[[#This Row],['#Paniculas/0.9 m2]]/0.9</f>
        <v>647.77777777777771</v>
      </c>
      <c r="F6">
        <v>0.56399999999999995</v>
      </c>
      <c r="G6">
        <v>66.760000000000005</v>
      </c>
      <c r="H6" s="1">
        <v>0.71399999999999997</v>
      </c>
      <c r="I6" s="1">
        <f t="shared" si="0"/>
        <v>0.28600000000000003</v>
      </c>
      <c r="J6">
        <v>24</v>
      </c>
      <c r="K6">
        <v>4.55</v>
      </c>
      <c r="L6" s="2">
        <f>(Table1[[#This Row],[Producción (kg)]]/12)*10000</f>
        <v>3791.6666666666665</v>
      </c>
      <c r="M6">
        <v>23.5</v>
      </c>
    </row>
    <row r="7" spans="1:13" x14ac:dyDescent="0.2">
      <c r="A7">
        <v>106</v>
      </c>
      <c r="B7" t="s">
        <v>18</v>
      </c>
      <c r="C7" t="s">
        <v>9</v>
      </c>
      <c r="D7">
        <v>384</v>
      </c>
      <c r="E7" s="2">
        <f>Table1[[#This Row],['#Paniculas/0.9 m2]]/0.9</f>
        <v>426.66666666666663</v>
      </c>
      <c r="F7">
        <v>0.34300000000000003</v>
      </c>
      <c r="G7">
        <v>64.040000000000006</v>
      </c>
      <c r="H7" s="1">
        <v>0.63800000000000001</v>
      </c>
      <c r="I7" s="1">
        <f t="shared" si="0"/>
        <v>0.36199999999999999</v>
      </c>
      <c r="J7">
        <v>28</v>
      </c>
      <c r="K7">
        <v>3.75</v>
      </c>
      <c r="L7" s="2">
        <f>(Table1[[#This Row],[Producción (kg)]]/12)*10000</f>
        <v>3125</v>
      </c>
      <c r="M7">
        <v>25.8</v>
      </c>
    </row>
    <row r="8" spans="1:13" x14ac:dyDescent="0.2">
      <c r="A8">
        <v>201</v>
      </c>
      <c r="B8" t="s">
        <v>14</v>
      </c>
      <c r="C8" t="s">
        <v>10</v>
      </c>
      <c r="D8">
        <v>411</v>
      </c>
      <c r="E8" s="2">
        <f>Table1[[#This Row],['#Paniculas/0.9 m2]]/0.9</f>
        <v>456.66666666666663</v>
      </c>
      <c r="F8">
        <v>0.57799999999999996</v>
      </c>
      <c r="G8">
        <v>80.2</v>
      </c>
      <c r="H8" s="1">
        <v>0.69599999999999995</v>
      </c>
      <c r="I8" s="1">
        <f t="shared" si="0"/>
        <v>0.30400000000000005</v>
      </c>
      <c r="J8">
        <v>31</v>
      </c>
      <c r="K8">
        <v>5.15</v>
      </c>
      <c r="L8" s="2">
        <f>(Table1[[#This Row],[Producción (kg)]]/12)*10000</f>
        <v>4291.666666666667</v>
      </c>
      <c r="M8">
        <v>22.9</v>
      </c>
    </row>
    <row r="9" spans="1:13" x14ac:dyDescent="0.2">
      <c r="A9">
        <v>202</v>
      </c>
      <c r="B9" t="s">
        <v>15</v>
      </c>
      <c r="C9" t="s">
        <v>10</v>
      </c>
      <c r="D9">
        <v>524</v>
      </c>
      <c r="E9" s="2">
        <f>Table1[[#This Row],['#Paniculas/0.9 m2]]/0.9</f>
        <v>582.22222222222217</v>
      </c>
      <c r="F9">
        <v>0.44700000000000001</v>
      </c>
      <c r="G9">
        <v>68.52</v>
      </c>
      <c r="H9" s="1">
        <v>0.76600000000000001</v>
      </c>
      <c r="I9" s="1">
        <f t="shared" si="0"/>
        <v>0.23399999999999999</v>
      </c>
      <c r="J9">
        <v>31</v>
      </c>
      <c r="K9">
        <v>4.8</v>
      </c>
      <c r="L9" s="2">
        <f>(Table1[[#This Row],[Producción (kg)]]/12)*10000</f>
        <v>3999.9999999999995</v>
      </c>
      <c r="M9">
        <v>20.5</v>
      </c>
    </row>
    <row r="10" spans="1:13" x14ac:dyDescent="0.2">
      <c r="A10">
        <v>203</v>
      </c>
      <c r="B10" t="s">
        <v>13</v>
      </c>
      <c r="C10" t="s">
        <v>10</v>
      </c>
      <c r="D10">
        <v>593</v>
      </c>
      <c r="E10" s="2">
        <f>Table1[[#This Row],['#Paniculas/0.9 m2]]/0.9</f>
        <v>658.88888888888891</v>
      </c>
      <c r="F10">
        <v>0.55400000000000005</v>
      </c>
      <c r="G10">
        <v>82</v>
      </c>
      <c r="H10" s="1">
        <v>0.63200000000000001</v>
      </c>
      <c r="I10" s="1">
        <f t="shared" si="0"/>
        <v>0.36799999999999999</v>
      </c>
      <c r="J10">
        <v>29</v>
      </c>
      <c r="K10">
        <v>5.0999999999999996</v>
      </c>
      <c r="L10" s="2">
        <f>(Table1[[#This Row],[Producción (kg)]]/12)*10000</f>
        <v>4250</v>
      </c>
      <c r="M10">
        <v>19.100000000000001</v>
      </c>
    </row>
    <row r="11" spans="1:13" x14ac:dyDescent="0.2">
      <c r="A11">
        <v>204</v>
      </c>
      <c r="B11" t="s">
        <v>17</v>
      </c>
      <c r="C11" t="s">
        <v>10</v>
      </c>
      <c r="D11">
        <v>448</v>
      </c>
      <c r="E11" s="2">
        <f>Table1[[#This Row],['#Paniculas/0.9 m2]]/0.9</f>
        <v>497.77777777777777</v>
      </c>
      <c r="F11">
        <v>0.51100000000000001</v>
      </c>
      <c r="G11">
        <v>78.84</v>
      </c>
      <c r="H11" s="1">
        <v>0.57599999999999996</v>
      </c>
      <c r="I11" s="1">
        <f t="shared" si="0"/>
        <v>0.42400000000000004</v>
      </c>
      <c r="J11">
        <v>30</v>
      </c>
      <c r="K11">
        <v>5.6</v>
      </c>
      <c r="L11" s="2">
        <f>(Table1[[#This Row],[Producción (kg)]]/12)*10000</f>
        <v>4666.6666666666661</v>
      </c>
      <c r="M11">
        <v>21.5</v>
      </c>
    </row>
    <row r="12" spans="1:13" x14ac:dyDescent="0.2">
      <c r="A12">
        <v>205</v>
      </c>
      <c r="B12" t="s">
        <v>18</v>
      </c>
      <c r="C12" t="s">
        <v>10</v>
      </c>
      <c r="D12">
        <v>442</v>
      </c>
      <c r="E12" s="2">
        <f>Table1[[#This Row],['#Paniculas/0.9 m2]]/0.9</f>
        <v>491.11111111111109</v>
      </c>
      <c r="F12">
        <v>0.55200000000000005</v>
      </c>
      <c r="G12">
        <v>83.6</v>
      </c>
      <c r="H12" s="1">
        <v>0.69799999999999995</v>
      </c>
      <c r="I12" s="1">
        <f t="shared" si="0"/>
        <v>0.30200000000000005</v>
      </c>
      <c r="J12">
        <v>30</v>
      </c>
      <c r="K12">
        <v>5.3</v>
      </c>
      <c r="L12" s="2">
        <f>(Table1[[#This Row],[Producción (kg)]]/12)*10000</f>
        <v>4416.666666666667</v>
      </c>
      <c r="M12">
        <v>22.9</v>
      </c>
    </row>
    <row r="13" spans="1:13" x14ac:dyDescent="0.2">
      <c r="A13">
        <v>206</v>
      </c>
      <c r="B13" t="s">
        <v>16</v>
      </c>
      <c r="C13" t="s">
        <v>10</v>
      </c>
      <c r="D13">
        <v>565</v>
      </c>
      <c r="E13" s="2">
        <f>Table1[[#This Row],['#Paniculas/0.9 m2]]/0.9</f>
        <v>627.77777777777771</v>
      </c>
      <c r="F13">
        <v>0.54100000000000004</v>
      </c>
      <c r="G13">
        <v>74.400000000000006</v>
      </c>
      <c r="H13" s="1">
        <v>0.69799999999999995</v>
      </c>
      <c r="I13" s="1">
        <f t="shared" si="0"/>
        <v>0.30200000000000005</v>
      </c>
      <c r="J13">
        <v>29</v>
      </c>
      <c r="K13">
        <v>3.75</v>
      </c>
      <c r="L13" s="2">
        <f>(Table1[[#This Row],[Producción (kg)]]/12)*10000</f>
        <v>3125</v>
      </c>
      <c r="M13">
        <v>23.1</v>
      </c>
    </row>
    <row r="14" spans="1:13" x14ac:dyDescent="0.2">
      <c r="A14">
        <v>301</v>
      </c>
      <c r="B14" t="s">
        <v>17</v>
      </c>
      <c r="C14" t="s">
        <v>11</v>
      </c>
      <c r="D14">
        <v>384</v>
      </c>
      <c r="E14" s="2">
        <f>Table1[[#This Row],['#Paniculas/0.9 m2]]/0.9</f>
        <v>426.66666666666663</v>
      </c>
      <c r="F14">
        <v>0.12</v>
      </c>
      <c r="G14">
        <v>60.48</v>
      </c>
      <c r="H14" s="1">
        <v>0.29899999999999999</v>
      </c>
      <c r="I14" s="1">
        <f t="shared" si="0"/>
        <v>0.70100000000000007</v>
      </c>
      <c r="J14">
        <v>26</v>
      </c>
      <c r="K14">
        <v>5.0999999999999996</v>
      </c>
      <c r="L14" s="2">
        <f>(Table1[[#This Row],[Producción (kg)]]/12)*10000</f>
        <v>4250</v>
      </c>
      <c r="M14">
        <v>18</v>
      </c>
    </row>
    <row r="15" spans="1:13" x14ac:dyDescent="0.2">
      <c r="A15">
        <v>302</v>
      </c>
      <c r="B15" t="s">
        <v>14</v>
      </c>
      <c r="C15" t="s">
        <v>11</v>
      </c>
      <c r="D15">
        <v>256</v>
      </c>
      <c r="E15" s="2">
        <f>Table1[[#This Row],['#Paniculas/0.9 m2]]/0.9</f>
        <v>284.44444444444446</v>
      </c>
      <c r="F15">
        <v>0.161</v>
      </c>
      <c r="G15">
        <v>56.8</v>
      </c>
      <c r="H15" s="1">
        <v>0.55500000000000005</v>
      </c>
      <c r="I15" s="1">
        <f t="shared" si="0"/>
        <v>0.44499999999999995</v>
      </c>
      <c r="J15">
        <v>28</v>
      </c>
      <c r="K15">
        <v>2.35</v>
      </c>
      <c r="L15" s="2">
        <f>(Table1[[#This Row],[Producción (kg)]]/12)*10000</f>
        <v>1958.3333333333333</v>
      </c>
      <c r="M15">
        <v>24.7</v>
      </c>
    </row>
    <row r="16" spans="1:13" x14ac:dyDescent="0.2">
      <c r="A16">
        <v>303</v>
      </c>
      <c r="B16" t="s">
        <v>18</v>
      </c>
      <c r="C16" t="s">
        <v>11</v>
      </c>
      <c r="D16">
        <v>438</v>
      </c>
      <c r="E16" s="2">
        <f>Table1[[#This Row],['#Paniculas/0.9 m2]]/0.9</f>
        <v>486.66666666666663</v>
      </c>
      <c r="F16">
        <v>0.44900000000000001</v>
      </c>
      <c r="G16">
        <v>77.040000000000006</v>
      </c>
      <c r="H16" s="1">
        <v>0.625</v>
      </c>
      <c r="I16" s="1">
        <f t="shared" si="0"/>
        <v>0.375</v>
      </c>
      <c r="J16">
        <v>29</v>
      </c>
      <c r="K16">
        <v>3.9</v>
      </c>
      <c r="L16" s="2">
        <f>(Table1[[#This Row],[Producción (kg)]]/12)*10000</f>
        <v>3250</v>
      </c>
      <c r="M16">
        <v>21.2</v>
      </c>
    </row>
    <row r="17" spans="1:13" x14ac:dyDescent="0.2">
      <c r="A17">
        <v>304</v>
      </c>
      <c r="B17" t="s">
        <v>15</v>
      </c>
      <c r="C17" t="s">
        <v>11</v>
      </c>
      <c r="D17">
        <v>390</v>
      </c>
      <c r="E17" s="2">
        <f>Table1[[#This Row],['#Paniculas/0.9 m2]]/0.9</f>
        <v>433.33333333333331</v>
      </c>
      <c r="F17">
        <v>0.35399999999999998</v>
      </c>
      <c r="G17">
        <v>78.400000000000006</v>
      </c>
      <c r="H17" s="1">
        <v>0.73</v>
      </c>
      <c r="I17" s="1">
        <f t="shared" si="0"/>
        <v>0.27</v>
      </c>
      <c r="J17">
        <v>29</v>
      </c>
      <c r="K17">
        <v>4.9000000000000004</v>
      </c>
      <c r="L17" s="2">
        <f>(Table1[[#This Row],[Producción (kg)]]/12)*10000</f>
        <v>4083.3333333333339</v>
      </c>
      <c r="M17">
        <v>20.399999999999999</v>
      </c>
    </row>
    <row r="18" spans="1:13" x14ac:dyDescent="0.2">
      <c r="A18">
        <v>305</v>
      </c>
      <c r="B18" t="s">
        <v>16</v>
      </c>
      <c r="C18" t="s">
        <v>11</v>
      </c>
      <c r="D18">
        <v>468</v>
      </c>
      <c r="E18" s="2">
        <f>Table1[[#This Row],['#Paniculas/0.9 m2]]/0.9</f>
        <v>520</v>
      </c>
      <c r="F18">
        <v>0.47699999999999998</v>
      </c>
      <c r="G18">
        <v>81.28</v>
      </c>
      <c r="H18" s="1">
        <v>0.74</v>
      </c>
      <c r="I18" s="1">
        <f t="shared" si="0"/>
        <v>0.26</v>
      </c>
      <c r="J18">
        <v>29</v>
      </c>
      <c r="K18">
        <v>4.45</v>
      </c>
      <c r="L18" s="2">
        <f>(Table1[[#This Row],[Producción (kg)]]/12)*10000</f>
        <v>3708.3333333333335</v>
      </c>
      <c r="M18">
        <v>20.6</v>
      </c>
    </row>
    <row r="19" spans="1:13" x14ac:dyDescent="0.2">
      <c r="A19">
        <v>306</v>
      </c>
      <c r="B19" t="s">
        <v>13</v>
      </c>
      <c r="C19" t="s">
        <v>11</v>
      </c>
      <c r="D19">
        <v>545</v>
      </c>
      <c r="E19" s="2">
        <f>Table1[[#This Row],['#Paniculas/0.9 m2]]/0.9</f>
        <v>605.55555555555554</v>
      </c>
      <c r="F19">
        <v>0.57599999999999996</v>
      </c>
      <c r="G19">
        <v>61.8</v>
      </c>
      <c r="H19" s="1">
        <v>0.58699999999999997</v>
      </c>
      <c r="I19" s="1">
        <f t="shared" si="0"/>
        <v>0.41300000000000003</v>
      </c>
      <c r="J19">
        <v>35</v>
      </c>
      <c r="K19">
        <v>5.4</v>
      </c>
      <c r="L19" s="2">
        <f>(Table1[[#This Row],[Producción (kg)]]/12)*10000</f>
        <v>4500</v>
      </c>
      <c r="M19">
        <v>21.1</v>
      </c>
    </row>
    <row r="20" spans="1:13" x14ac:dyDescent="0.2">
      <c r="A20">
        <v>401</v>
      </c>
      <c r="B20" t="s">
        <v>14</v>
      </c>
      <c r="C20" t="s">
        <v>12</v>
      </c>
      <c r="D20">
        <v>767</v>
      </c>
      <c r="E20" s="2">
        <f>Table1[[#This Row],['#Paniculas/0.9 m2]]/0.9</f>
        <v>852.22222222222217</v>
      </c>
      <c r="F20">
        <v>0.502</v>
      </c>
      <c r="G20">
        <v>85.96</v>
      </c>
      <c r="H20" s="1">
        <v>0.70299999999999996</v>
      </c>
      <c r="I20" s="1">
        <f t="shared" si="0"/>
        <v>0.29700000000000004</v>
      </c>
      <c r="J20">
        <v>29</v>
      </c>
      <c r="K20">
        <v>4.5</v>
      </c>
      <c r="L20" s="2">
        <f>(Table1[[#This Row],[Producción (kg)]]/12)*10000</f>
        <v>3750</v>
      </c>
      <c r="M20">
        <v>25</v>
      </c>
    </row>
    <row r="21" spans="1:13" x14ac:dyDescent="0.2">
      <c r="A21">
        <v>402</v>
      </c>
      <c r="B21" t="s">
        <v>16</v>
      </c>
      <c r="C21" t="s">
        <v>12</v>
      </c>
      <c r="D21">
        <v>567</v>
      </c>
      <c r="E21" s="2">
        <f>Table1[[#This Row],['#Paniculas/0.9 m2]]/0.9</f>
        <v>630</v>
      </c>
      <c r="F21">
        <v>0.57199999999999995</v>
      </c>
      <c r="G21">
        <v>77.599999999999994</v>
      </c>
      <c r="H21" s="1">
        <v>0.63200000000000001</v>
      </c>
      <c r="I21" s="1">
        <f t="shared" si="0"/>
        <v>0.36799999999999999</v>
      </c>
      <c r="J21">
        <v>28</v>
      </c>
      <c r="K21">
        <v>4.8</v>
      </c>
      <c r="L21" s="2">
        <f>(Table1[[#This Row],[Producción (kg)]]/12)*10000</f>
        <v>3999.9999999999995</v>
      </c>
      <c r="M21">
        <v>22.2</v>
      </c>
    </row>
    <row r="22" spans="1:13" x14ac:dyDescent="0.2">
      <c r="A22">
        <v>403</v>
      </c>
      <c r="B22" t="s">
        <v>17</v>
      </c>
      <c r="C22" t="s">
        <v>12</v>
      </c>
      <c r="D22">
        <v>592</v>
      </c>
      <c r="E22" s="2">
        <f>Table1[[#This Row],['#Paniculas/0.9 m2]]/0.9</f>
        <v>657.77777777777771</v>
      </c>
      <c r="F22">
        <v>0.61199999999999999</v>
      </c>
      <c r="G22">
        <v>78.040000000000006</v>
      </c>
      <c r="H22" s="1">
        <v>0.55900000000000005</v>
      </c>
      <c r="I22" s="1">
        <f t="shared" si="0"/>
        <v>0.44099999999999995</v>
      </c>
      <c r="J22">
        <v>30</v>
      </c>
      <c r="K22">
        <v>5.3</v>
      </c>
      <c r="L22" s="2">
        <f>(Table1[[#This Row],[Producción (kg)]]/12)*10000</f>
        <v>4416.666666666667</v>
      </c>
      <c r="M22">
        <v>23.5</v>
      </c>
    </row>
    <row r="23" spans="1:13" x14ac:dyDescent="0.2">
      <c r="A23">
        <v>404</v>
      </c>
      <c r="B23" t="s">
        <v>15</v>
      </c>
      <c r="C23" t="s">
        <v>12</v>
      </c>
      <c r="D23">
        <v>544</v>
      </c>
      <c r="E23" s="2">
        <f>Table1[[#This Row],['#Paniculas/0.9 m2]]/0.9</f>
        <v>604.44444444444446</v>
      </c>
      <c r="F23">
        <v>0.39700000000000002</v>
      </c>
      <c r="G23">
        <v>54.8</v>
      </c>
      <c r="H23" s="1">
        <v>0.53620000000000001</v>
      </c>
      <c r="I23" s="1">
        <f t="shared" si="0"/>
        <v>0.46379999999999999</v>
      </c>
      <c r="J23">
        <v>31</v>
      </c>
      <c r="K23">
        <v>3.95</v>
      </c>
      <c r="L23" s="2">
        <f>(Table1[[#This Row],[Producción (kg)]]/12)*10000</f>
        <v>3291.6666666666665</v>
      </c>
      <c r="M23">
        <v>22.6</v>
      </c>
    </row>
    <row r="24" spans="1:13" x14ac:dyDescent="0.2">
      <c r="A24">
        <v>405</v>
      </c>
      <c r="B24" t="s">
        <v>13</v>
      </c>
      <c r="C24" t="s">
        <v>12</v>
      </c>
      <c r="D24">
        <v>407</v>
      </c>
      <c r="E24" s="2">
        <f>Table1[[#This Row],['#Paniculas/0.9 m2]]/0.9</f>
        <v>452.22222222222223</v>
      </c>
      <c r="F24">
        <v>0.33800000000000002</v>
      </c>
      <c r="G24">
        <v>53.44</v>
      </c>
      <c r="H24" s="1">
        <v>0.47699999999999998</v>
      </c>
      <c r="I24" s="1">
        <f t="shared" si="0"/>
        <v>0.52300000000000002</v>
      </c>
      <c r="J24">
        <v>32</v>
      </c>
      <c r="K24">
        <v>4</v>
      </c>
      <c r="L24" s="2">
        <f>(Table1[[#This Row],[Producción (kg)]]/12)*10000</f>
        <v>3333.333333333333</v>
      </c>
      <c r="M24">
        <v>18.399999999999999</v>
      </c>
    </row>
    <row r="25" spans="1:13" x14ac:dyDescent="0.2">
      <c r="A25">
        <v>406</v>
      </c>
      <c r="B25" t="s">
        <v>18</v>
      </c>
      <c r="C25" t="s">
        <v>12</v>
      </c>
      <c r="D25">
        <v>470</v>
      </c>
      <c r="E25" s="2">
        <f>Table1[[#This Row],['#Paniculas/0.9 m2]]/0.9</f>
        <v>522.22222222222217</v>
      </c>
      <c r="F25">
        <v>0.28499999999999998</v>
      </c>
      <c r="G25">
        <v>70.2</v>
      </c>
      <c r="H25" s="1">
        <v>0.497</v>
      </c>
      <c r="I25" s="1">
        <f t="shared" si="0"/>
        <v>0.503</v>
      </c>
      <c r="J25">
        <v>29</v>
      </c>
      <c r="K25">
        <v>3.15</v>
      </c>
      <c r="L25" s="2">
        <f>(Table1[[#This Row],[Producción (kg)]]/12)*10000</f>
        <v>2625</v>
      </c>
      <c r="M25">
        <v>15.6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Mynor Morales</dc:creator>
  <cp:keywords/>
  <dc:description/>
  <cp:lastModifiedBy>YONSHUAL NEHEMIAS XINICO AJU</cp:lastModifiedBy>
  <dcterms:created xsi:type="dcterms:W3CDTF">2024-01-13T11:44:01Z</dcterms:created>
  <dcterms:modified xsi:type="dcterms:W3CDTF">2026-02-02T03:43:37Z</dcterms:modified>
  <cp:category/>
</cp:coreProperties>
</file>